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562861c0f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 Cases" sheetId="1" r:id="Rff8b61d7f3db4199"/>
    <x:sheet xmlns:r="http://schemas.openxmlformats.org/officeDocument/2006/relationships" name="Simple Cases" sheetId="2" r:id="R28924452ad0e4b25"/>
    <x:sheet xmlns:r="http://schemas.openxmlformats.org/officeDocument/2006/relationships" name="Modification" sheetId="3" r:id="R715fb8fd683d49d9"/>
    <x:sheet xmlns:r="http://schemas.openxmlformats.org/officeDocument/2006/relationships" name="Checks" sheetId="4" r:id="R6a42d196bd9d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.00;[Red](R$ #,##0.00);-"/>
    <x:numFmt numFmtId="201" formatCode="R$ #,##0.00"/>
    <x:numFmt numFmtId="202" formatCode="0.0000%"/>
    <x:numFmt numFmtId="203" formatCode="0"/>
    <x:numFmt numFmtId="204" formatCode="0.00000000"/>
    <x:numFmt numFmtId="205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</x:fills>
  <x:borders count="2">
    <x:border/>
    <x:border>
      <x:bottom style="double">
        <x:color rgb="FF17365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7" fillId="2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2" fillId="3" borderId="1" xfId="0" applyNumberFormat="1" applyFont="1" applyFill="1" applyBorder="1"/>
    <x:xf numFmtId="205" fontId="0" fillId="0" borderId="0" xfId="0" applyNumberFormat="1" applyFont="1" applyFill="1" applyBorder="1"/>
    <x:xf numFmtId="205" fontId="4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8d83b14584b6c" /><Relationship Type="http://schemas.openxmlformats.org/officeDocument/2006/relationships/theme" Target="/xl/theme/theme1.xml" Id="Rcb05d808f6bc4d89" /><Relationship Type="http://schemas.openxmlformats.org/officeDocument/2006/relationships/sharedStrings" Target="/xl/sharedStrings.xml" Id="R0fc21d27e42b4ea6" /><Relationship Type="http://schemas.openxmlformats.org/officeDocument/2006/relationships/worksheet" Target="/xl/worksheets/sheet1.xml" Id="Rff8b61d7f3db4199" /><Relationship Type="http://schemas.openxmlformats.org/officeDocument/2006/relationships/worksheet" Target="/xl/worksheets/sheet2.xml" Id="R28924452ad0e4b25" /><Relationship Type="http://schemas.openxmlformats.org/officeDocument/2006/relationships/worksheet" Target="/xl/worksheets/sheet3.xml" Id="R715fb8fd683d49d9" /><Relationship Type="http://schemas.openxmlformats.org/officeDocument/2006/relationships/worksheet" Target="/xl/worksheets/sheet4.xml" Id="R6a42d196bd9d490d" /><Relationship Type="http://schemas.microsoft.com/office/2017/10/relationships/person" Target="/xl/persons/person.xml" Id="R767b711770c34375" /></Relationships>
</file>

<file path=xl/persons/person.xml><?xml version="1.0" encoding="utf-8"?>
<xltc:personList xmlns:xltc="http://schemas.microsoft.com/office/spreadsheetml/2018/threadedcomments">
  <xltc:person displayName="User" id="{AC29E6EA-A191-4F85-97AB-88F11848307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.630000114440918" hidden="0" customWidth="1"/>
    <x:col min="4" max="4" width="8" hidden="0" customWidth="1"/>
    <x:col min="5" max="5" width="7.880000114440918" hidden="0" customWidth="1"/>
    <x:col min="6" max="6" width="5.25" hidden="0" customWidth="1"/>
  </x:cols>
  <x:sheetData>
    <x:row r="1" ht="19.200000762939453" hidden="0" customHeight="1">
      <x:c r="A1" s="2" t="str">
        <x:v>IFRS 9 / CMN 4.966 — Golden Cases Independentes</x:v>
      </x:c>
      <x:c r="B1" s="2"/>
      <x:c r="C1" s="2"/>
      <x:c r="D1" s="2"/>
      <x:c r="E1" s="2"/>
      <x:c r="F1" s="2"/>
      <x:c r="G1" s="2"/>
    </x:row>
    <x:row r="2"/>
    <x:row r="3" ht="15" hidden="0" customHeight="1">
      <x:c r="A3" s="4" t="str">
        <x:v>Versão</x:v>
      </x:c>
      <x:c r="B3" t="str">
        <x:v>1.0.0</x:v>
      </x:c>
    </x:row>
    <x:row r="4" ht="15" hidden="0" customHeight="1">
      <x:c r="A4" s="4" t="str">
        <x:v>Escopo</x:v>
      </x:c>
      <x:c r="B4" t="str">
        <x:v>Demonstração sintética</x:v>
      </x:c>
    </x:row>
    <x:row r="5" ht="15" hidden="0" customHeight="1">
      <x:c r="A5" s="4" t="str">
        <x:v>Moeda</x:v>
      </x:c>
      <x:c r="B5" t="str">
        <x:v>BRL</x:v>
      </x:c>
    </x:row>
    <x:row r="6" ht="15" hidden="0" customHeight="1">
      <x:c r="A6" s="4" t="str">
        <x:v>Precisão</x:v>
      </x:c>
      <x:c r="B6" t="str">
        <x:v>Centavos; ROUND_HALF_EVEN no comparador Python</x:v>
      </x:c>
    </x:row>
    <x:row r="7" ht="15" hidden="0" customHeight="1">
      <x:c r="A7" s="4" t="str">
        <x:v>Limitação</x:v>
      </x:c>
      <x:c r="B7" t="str">
        <x:v>Não aprova modelos nem atesta conformidade regulatória</x:v>
      </x:c>
    </x:row>
    <x:row r="8"/>
    <x:row r="9" ht="15" hidden="0" customHeight="1">
      <x:c r="A9" s="6" t="str">
        <x:v>Case ID</x:v>
      </x:c>
      <x:c r="B9" s="6" t="str">
        <x:v>Descrição</x:v>
      </x:c>
      <x:c r="C9" s="6" t="str">
        <x:v>Esperado</x:v>
      </x:c>
      <x:c r="D9" s="6" t="str">
        <x:v>Calculado</x:v>
      </x:c>
      <x:c r="E9" s="6" t="str">
        <x:v>Diferença</x:v>
      </x:c>
      <x:c r="F9" s="6" t="str">
        <x:v>Status</x:v>
      </x:c>
    </x:row>
    <x:row r="10" ht="15" hidden="0" customHeight="1">
      <x:c r="A10" t="str">
        <x:v>stage1_amortized</x:v>
      </x:c>
      <x:c r="B10" t="str">
        <x:v>Stage 1 amortizado</x:v>
      </x:c>
      <x:c r="C10" s="7" t="n">
        <x:v>9.05</x:v>
      </x:c>
      <x:c r="D10" s="8" t="n">
        <x:f>'Simple Cases'!Q2</x:f>
        <x:v>9.05</x:v>
      </x:c>
      <x:c r="E10" s="8" t="n">
        <x:f>D10-C10</x:f>
        <x:v>0</x:v>
      </x:c>
      <x:c r="F10" s="9" t="str">
        <x:f>IF(ABS(E10)&lt;=0.001,"OK","FAIL")</x:f>
        <x:v>OK</x:v>
      </x:c>
    </x:row>
    <x:row r="11" ht="15" hidden="0" customHeight="1">
      <x:c r="A11" t="str">
        <x:v>stage2_lifetime</x:v>
      </x:c>
      <x:c r="B11" t="str">
        <x:v>Stage 2 lifetime</x:v>
      </x:c>
      <x:c r="C11" s="7" t="n">
        <x:v>12.33</x:v>
      </x:c>
      <x:c r="D11" s="8" t="n">
        <x:f>'Simple Cases'!Q3</x:f>
        <x:v>12.33</x:v>
      </x:c>
      <x:c r="E11" s="8" t="n">
        <x:f>D11-C11</x:f>
        <x:v>0</x:v>
      </x:c>
      <x:c r="F11" s="9" t="str">
        <x:f>IF(ABS(E11)&lt;=0.001,"OK","FAIL")</x:f>
        <x:v>OK</x:v>
      </x:c>
    </x:row>
    <x:row r="12" ht="15" hidden="0" customHeight="1">
      <x:c r="A12" t="str">
        <x:v>stage3_cash_shortfall</x:v>
      </x:c>
      <x:c r="B12" t="str">
        <x:v>Stage 3 cash shortfall</x:v>
      </x:c>
      <x:c r="C12" s="7" t="n">
        <x:v>25</x:v>
      </x:c>
      <x:c r="D12" s="8" t="n">
        <x:f>'Simple Cases'!Q4</x:f>
        <x:v>25</x:v>
      </x:c>
      <x:c r="E12" s="8" t="n">
        <x:f>D12-C12</x:f>
        <x:v>0</x:v>
      </x:c>
      <x:c r="F12" s="9" t="str">
        <x:f>IF(ABS(E12)&lt;=0.001,"OK","FAIL")</x:f>
        <x:v>OK</x:v>
      </x:c>
    </x:row>
    <x:row r="13" ht="15" hidden="0" customHeight="1">
      <x:c r="A13" t="str">
        <x:v>revolving_ccf</x:v>
      </x:c>
      <x:c r="B13" t="str">
        <x:v>Rotativo com CCF</x:v>
      </x:c>
      <x:c r="C13" s="7" t="n">
        <x:v>7.5</x:v>
      </x:c>
      <x:c r="D13" s="8" t="n">
        <x:f>'Simple Cases'!Q5</x:f>
        <x:v>7.5</x:v>
      </x:c>
      <x:c r="E13" s="8" t="n">
        <x:f>D13-C13</x:f>
        <x:v>0</x:v>
      </x:c>
      <x:c r="F13" s="9" t="str">
        <x:f>IF(ABS(E13)&lt;=0.001,"OK","FAIL")</x:f>
        <x:v>OK</x:v>
      </x:c>
    </x:row>
    <x:row r="14" ht="15" hidden="0" customHeight="1">
      <x:c r="A14" t="str">
        <x:v>secured_contract</x:v>
      </x:c>
      <x:c r="B14" t="str">
        <x:v>Contrato garantido</x:v>
      </x:c>
      <x:c r="C14" s="7" t="n">
        <x:v>30</x:v>
      </x:c>
      <x:c r="D14" s="8" t="n">
        <x:f>'Simple Cases'!Q6</x:f>
        <x:v>30</x:v>
      </x:c>
      <x:c r="E14" s="8" t="n">
        <x:f>D14-C14</x:f>
        <x:v>0</x:v>
      </x:c>
      <x:c r="F14" s="9" t="str">
        <x:f>IF(ABS(E14)&lt;=0.001,"OK","FAIL")</x:f>
        <x:v>OK</x:v>
      </x:c>
    </x:row>
    <x:row r="15" ht="15" hidden="0" customHeight="1">
      <x:c r="A15" t="str">
        <x:v>poci</x:v>
      </x:c>
      <x:c r="B15" t="str">
        <x:v>POCI multi-cenário</x:v>
      </x:c>
      <x:c r="C15" s="7" t="n">
        <x:v>20</x:v>
      </x:c>
      <x:c r="D15" s="8" t="n">
        <x:f>'Simple Cases'!Q7</x:f>
        <x:v>20</x:v>
      </x:c>
      <x:c r="E15" s="8" t="n">
        <x:f>D15-C15</x:f>
        <x:v>0</x:v>
      </x:c>
      <x:c r="F15" s="9" t="str">
        <x:f>IF(ABS(E15)&lt;=0.001,"OK","FAIL")</x:f>
        <x:v>OK</x:v>
      </x:c>
    </x:row>
    <x:row r="16" ht="15" hidden="0" customHeight="1">
      <x:c r="A16" t="str">
        <x:v>modification</x:v>
      </x:c>
      <x:c r="B16" t="str">
        <x:v>Modificação sem baixa</x:v>
      </x:c>
      <x:c r="C16" s="7" t="n">
        <x:v>268.15</x:v>
      </x:c>
      <x:c r="D16" s="8" t="n">
        <x:f>'Modification'!I36</x:f>
        <x:v>268.15</x:v>
      </x:c>
      <x:c r="E16" s="8" t="n">
        <x:f>D16-C16</x:f>
        <x:v>0</x:v>
      </x:c>
      <x:c r="F16" s="9" t="str">
        <x:f>IF(ABS(E16)&lt;=0.001,"OK","FAIL")</x:f>
        <x:v>OK</x:v>
      </x:c>
    </x:row>
    <x:row r="17" ht="15" hidden="0" customHeight="1">
      <x:c r="A17" t="str">
        <x:v>multi_scenario</x:v>
      </x:c>
      <x:c r="B17" t="str">
        <x:v>ECL multi-cenário</x:v>
      </x:c>
      <x:c r="C17" s="7" t="n">
        <x:v>21.14</x:v>
      </x:c>
      <x:c r="D17" s="8" t="n">
        <x:f>'Simple Cases'!Q8</x:f>
        <x:v>21.14</x:v>
      </x:c>
      <x:c r="E17" s="8" t="n">
        <x:f>D17-C17</x:f>
        <x:v>0</x:v>
      </x:c>
      <x:c r="F17" s="9" t="str">
        <x:f>IF(ABS(E17)&lt;=0.001,"OK","FAIL")</x:f>
        <x:v>OK</x:v>
      </x:c>
    </x:row>
    <x:row r="18"/>
    <x:row r="19" ht="15" hidden="0" customHeight="1">
      <x:c r="A19" s="10" t="str">
        <x:v>Status geral</x:v>
      </x:c>
      <x:c r="B19" s="10" t="str">
        <x:f>IF(COUNTIF(F10:F17,"FAIL")=0,"OK","FAIL")</x:f>
        <x:v>OK</x:v>
      </x:c>
    </x:row>
  </x:sheetData>
  <x:mergeCells>
    <x:mergeCell ref="A1:G1"/>
  </x:mergeCells>
  <x:conditionalFormatting sqref="F10:F17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.75" hidden="0" customWidth="1"/>
    <x:col min="4" max="4" width="3.880000114440918" hidden="0" customWidth="1"/>
    <x:col min="5" max="5" width="4.75" hidden="0" customWidth="1"/>
    <x:col min="6" max="6" width="3.380000114440918" hidden="0" customWidth="1"/>
    <x:col min="7" max="7" width="4.75" hidden="0" customWidth="1"/>
    <x:col min="8" max="8" width="3.880000114440918" hidden="0" customWidth="1"/>
    <x:col min="9" max="9" width="2.5" hidden="0" customWidth="1"/>
    <x:col min="10" max="10" width="2.5" hidden="0" customWidth="1"/>
    <x:col min="11" max="11" width="2.5" hidden="0" customWidth="1"/>
    <x:col min="12" max="12" width="3.380000114440918" hidden="0" customWidth="1"/>
    <x:col min="13" max="13" width="3.380000114440918" hidden="0" customWidth="1"/>
    <x:col min="14" max="14" width="3.380000114440918" hidden="0" customWidth="1"/>
    <x:col min="15" max="15" width="3.380000114440918" hidden="0" customWidth="1"/>
    <x:col min="16" max="16" width="3.380000114440918" hidden="0" customWidth="1"/>
    <x:col min="17" max="17" width="8.5" hidden="0" customWidth="1"/>
    <x:col min="1" max="1" width="24" hidden="0" customWidth="1"/>
    <x:col min="2" max="2" width="52" hidden="0" customWidth="1"/>
  </x:cols>
  <x:sheetData>
    <x:row r="1" ht="15" hidden="0" customHeight="1">
      <x:c r="A1" s="11" t="str">
        <x:v>Case ID</x:v>
      </x:c>
      <x:c r="B1" s="11" t="str">
        <x:v>Formula</x:v>
      </x:c>
      <x:c r="C1" s="11" t="str">
        <x:v>P1</x:v>
      </x:c>
      <x:c r="D1" s="11" t="str">
        <x:v>P2</x:v>
      </x:c>
      <x:c r="E1" s="11" t="str">
        <x:v>P3</x:v>
      </x:c>
      <x:c r="F1" s="11" t="str">
        <x:v>P4</x:v>
      </x:c>
      <x:c r="G1" s="11" t="str">
        <x:v>P5</x:v>
      </x:c>
      <x:c r="H1" s="11" t="str">
        <x:v>P6</x:v>
      </x:c>
      <x:c r="I1" s="11" t="str">
        <x:v>P7</x:v>
      </x:c>
      <x:c r="J1" s="11" t="str">
        <x:v>P8</x:v>
      </x:c>
      <x:c r="K1" s="11" t="str">
        <x:v>P9</x:v>
      </x:c>
      <x:c r="L1" s="11" t="str">
        <x:v>P10</x:v>
      </x:c>
      <x:c r="M1" s="11" t="str">
        <x:v>P11</x:v>
      </x:c>
      <x:c r="N1" s="11" t="str">
        <x:v>P12</x:v>
      </x:c>
      <x:c r="O1" s="11" t="str">
        <x:v>P13</x:v>
      </x:c>
      <x:c r="P1" s="11" t="str">
        <x:v>P14</x:v>
      </x:c>
      <x:c r="Q1" s="11" t="str">
        <x:v>Calculated</x:v>
      </x:c>
    </x:row>
    <x:row r="2" ht="15" hidden="0" customHeight="1">
      <x:c r="A2" t="str">
        <x:v>stage1_amortized</x:v>
      </x:c>
      <x:c r="B2" t="str">
        <x:v>PD1×LGD×EAD1 + survival×PD2×LGD×EAD2</x:v>
      </x:c>
      <x:c r="C2" s="12" t="n">
        <x:v>0.1</x:v>
      </x:c>
      <x:c r="D2" s="12" t="n">
        <x:v>0.5</x:v>
      </x:c>
      <x:c r="E2" s="12" t="n">
        <x:v>100</x:v>
      </x:c>
      <x:c r="F2" s="12" t="n">
        <x:v>0.1</x:v>
      </x:c>
      <x:c r="G2" s="12" t="n">
        <x:v>90</x:v>
      </x:c>
      <x:c r="H2" s="12"/>
      <x:c r="I2" s="12"/>
      <x:c r="J2" s="12"/>
      <x:c r="K2" s="12"/>
      <x:c r="L2" s="12"/>
      <x:c r="M2" s="12"/>
      <x:c r="N2" s="12"/>
      <x:c r="O2" s="12"/>
      <x:c r="P2" s="12"/>
      <x:c r="Q2" s="14" t="n">
        <x:f>ROUND(C2*D2*E2+(1-C2)*F2*D2*G2,2)</x:f>
        <x:v>9.05</x:v>
      </x:c>
    </x:row>
    <x:row r="3" ht="15" hidden="0" customHeight="1">
      <x:c r="A3" t="str">
        <x:v>stage2_lifetime</x:v>
      </x:c>
      <x:c r="B3" t="str">
        <x:v>3 períodos com sobrevivência a default e prepayment</x:v>
      </x:c>
      <x:c r="C3" s="12" t="n">
        <x:v>0.1</x:v>
      </x:c>
      <x:c r="D3" s="12" t="n">
        <x:v>0.5</x:v>
      </x:c>
      <x:c r="E3" s="12" t="n">
        <x:v>100</x:v>
      </x:c>
      <x:c r="F3" s="12" t="n">
        <x:v>0.1</x:v>
      </x:c>
      <x:c r="G3" s="12" t="n">
        <x:v>3</x:v>
      </x:c>
      <x:c r="H3" s="12"/>
      <x:c r="I3" s="12"/>
      <x:c r="J3" s="12"/>
      <x:c r="K3" s="12"/>
      <x:c r="L3" s="12"/>
      <x:c r="M3" s="12"/>
      <x:c r="N3" s="12"/>
      <x:c r="O3" s="12"/>
      <x:c r="P3" s="12"/>
      <x:c r="Q3" s="14" t="n">
        <x:f>ROUND(C3*D3*E3+(1-C3)*(1-F3)*C3*D3*E3+(1-C3)^2*(1-F3)^2*C3*D3*E3,2)</x:f>
        <x:v>12.33</x:v>
      </x:c>
    </x:row>
    <x:row r="4" ht="15" hidden="0" customHeight="1">
      <x:c r="A4" t="str">
        <x:v>stage3_cash_shortfall</x:v>
      </x:c>
      <x:c r="B4" t="str">
        <x:v>Contratual - devedor - colateral - garantia + custos</x:v>
      </x:c>
      <x:c r="C4" s="12" t="n">
        <x:v>100</x:v>
      </x:c>
      <x:c r="D4" s="12" t="n">
        <x:v>60</x:v>
      </x:c>
      <x:c r="E4" s="12" t="n">
        <x:v>20</x:v>
      </x:c>
      <x:c r="F4" s="12" t="n">
        <x:v>0</x:v>
      </x:c>
      <x:c r="G4" s="12" t="n">
        <x:v>5</x:v>
      </x:c>
      <x:c r="H4" s="12"/>
      <x:c r="I4" s="12"/>
      <x:c r="J4" s="12"/>
      <x:c r="K4" s="12"/>
      <x:c r="L4" s="12"/>
      <x:c r="M4" s="12"/>
      <x:c r="N4" s="12"/>
      <x:c r="O4" s="12"/>
      <x:c r="P4" s="12"/>
      <x:c r="Q4" s="14" t="n">
        <x:f>ROUND(C4-D4-E4-F4+G4,2)</x:f>
        <x:v>25</x:v>
      </x:c>
    </x:row>
    <x:row r="5" ht="15" hidden="0" customHeight="1">
      <x:c r="A5" t="str">
        <x:v>revolving_ccf</x:v>
      </x:c>
      <x:c r="B5" t="str">
        <x:v>PD×LGD×(drawn + undrawn×CCF)</x:v>
      </x:c>
      <x:c r="C5" s="12" t="n">
        <x:v>0.1</x:v>
      </x:c>
      <x:c r="D5" s="12" t="n">
        <x:v>0.5</x:v>
      </x:c>
      <x:c r="E5" s="12" t="n">
        <x:v>100</x:v>
      </x:c>
      <x:c r="F5" s="12" t="n">
        <x:v>100</x:v>
      </x:c>
      <x:c r="G5" s="12" t="n">
        <x:v>0.5</x:v>
      </x:c>
      <x:c r="H5" s="12"/>
      <x:c r="I5" s="12"/>
      <x:c r="J5" s="12"/>
      <x:c r="K5" s="12"/>
      <x:c r="L5" s="12"/>
      <x:c r="M5" s="12"/>
      <x:c r="N5" s="12"/>
      <x:c r="O5" s="12"/>
      <x:c r="P5" s="12"/>
      <x:c r="Q5" s="14" t="n">
        <x:f>ROUND(C5*D5*(E5+F5*G5),2)</x:f>
        <x:v>7.5</x:v>
      </x:c>
    </x:row>
    <x:row r="6" ht="15" hidden="0" customHeight="1">
      <x:c r="A6" t="str">
        <x:v>secured_contract</x:v>
      </x:c>
      <x:c r="B6" t="str">
        <x:v>Contratual - devedor - colateral - garantia + custos</x:v>
      </x:c>
      <x:c r="C6" s="12" t="n">
        <x:v>100</x:v>
      </x:c>
      <x:c r="D6" s="12" t="n">
        <x:v>20</x:v>
      </x:c>
      <x:c r="E6" s="12" t="n">
        <x:v>0</x:v>
      </x:c>
      <x:c r="F6" s="12" t="n">
        <x:v>50</x:v>
      </x:c>
      <x:c r="G6" s="12" t="n">
        <x:v>0</x:v>
      </x:c>
      <x:c r="H6" s="12"/>
      <x:c r="I6" s="12"/>
      <x:c r="J6" s="12"/>
      <x:c r="K6" s="12"/>
      <x:c r="L6" s="12"/>
      <x:c r="M6" s="12"/>
      <x:c r="N6" s="12"/>
      <x:c r="O6" s="12"/>
      <x:c r="P6" s="12"/>
      <x:c r="Q6" s="14" t="n">
        <x:f>ROUND(C6-D6-E6-F6+G6,2)</x:f>
        <x:v>30</x:v>
      </x:c>
    </x:row>
    <x:row r="7" ht="15" hidden="0" customHeight="1">
      <x:c r="A7" t="str">
        <x:v>poci</x:v>
      </x:c>
      <x:c r="B7" t="str">
        <x:v>SUMPRODUCT(ECL cenários; pesos)</x:v>
      </x:c>
      <x:c r="C7" s="12" t="n">
        <x:v>10</x:v>
      </x:c>
      <x:c r="D7" s="12" t="n">
        <x:v>0.15</x:v>
      </x:c>
      <x:c r="E7" s="12" t="n">
        <x:v>20</x:v>
      </x:c>
      <x:c r="F7" s="12" t="n">
        <x:v>0.7</x:v>
      </x:c>
      <x:c r="G7" s="12" t="n">
        <x:v>30</x:v>
      </x:c>
      <x:c r="H7" s="12" t="n">
        <x:v>0.15</x:v>
      </x:c>
      <x:c r="I7" s="12" t="n">
        <x:v>40</x:v>
      </x:c>
      <x:c r="J7" s="12" t="n">
        <x:v>0</x:v>
      </x:c>
      <x:c r="K7" s="12"/>
      <x:c r="L7" s="12"/>
      <x:c r="M7" s="12"/>
      <x:c r="N7" s="12"/>
      <x:c r="O7" s="12"/>
      <x:c r="P7" s="12"/>
      <x:c r="Q7" s="14" t="n">
        <x:f>ROUND(C7*D7+E7*F7+G7*H7+I7*J7,2)</x:f>
        <x:v>20</x:v>
      </x:c>
    </x:row>
    <x:row r="8" ht="15" hidden="0" customHeight="1">
      <x:c r="A8" t="str">
        <x:v>multi_scenario</x:v>
      </x:c>
      <x:c r="B8" t="str">
        <x:v>SUMPRODUCT(ECL cenários; pesos)</x:v>
      </x:c>
      <x:c r="C8" s="12" t="n">
        <x:v>20.21</x:v>
      </x:c>
      <x:c r="D8" s="12" t="n">
        <x:v>0.15</x:v>
      </x:c>
      <x:c r="E8" s="12" t="n">
        <x:v>20.97</x:v>
      </x:c>
      <x:c r="F8" s="12" t="n">
        <x:v>0.7</x:v>
      </x:c>
      <x:c r="G8" s="12" t="n">
        <x:v>22.89</x:v>
      </x:c>
      <x:c r="H8" s="12" t="n">
        <x:v>0.15</x:v>
      </x:c>
      <x:c r="I8" s="12" t="n">
        <x:v>0</x:v>
      </x:c>
      <x:c r="J8" s="12" t="n">
        <x:v>0</x:v>
      </x:c>
      <x:c r="K8" s="12"/>
      <x:c r="L8" s="12"/>
      <x:c r="M8" s="12"/>
      <x:c r="N8" s="12"/>
      <x:c r="O8" s="12"/>
      <x:c r="P8" s="12"/>
      <x:c r="Q8" s="14" t="n">
        <x:f>ROUND(C8*D8+E8*F8+G8*H8+I8*J8,2)</x:f>
        <x:v>21.14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.880000114440918" hidden="0" customWidth="1"/>
    <x:col min="3" max="3" width="5.630000114440918" hidden="0" customWidth="1"/>
    <x:col min="4" max="4" width="16.5" hidden="0" customWidth="1"/>
    <x:col min="5" max="5" width="10.380000114440918" hidden="0" customWidth="1"/>
    <x:col min="6" max="6" width="11.130000114440918" hidden="0" customWidth="1"/>
    <x:col min="7" max="7" width="16.25" hidden="0" customWidth="1"/>
    <x:col min="8" max="8" width="10.380000114440918" hidden="0" customWidth="1"/>
    <x:col min="9" max="9" width="5.75" hidden="0" customWidth="1"/>
  </x:cols>
  <x:sheetData>
    <x:row r="1" ht="16.799999237060547" hidden="0" customHeight="1">
      <x:c r="A1" s="15" t="str">
        <x:v>Modificação sem baixa — verificação independente</x:v>
      </x:c>
      <x:c r="B1" s="15"/>
      <x:c r="C1" s="15"/>
      <x:c r="D1" s="15"/>
      <x:c r="E1" s="15"/>
      <x:c r="F1" s="15"/>
      <x:c r="G1" s="15"/>
      <x:c r="H1" s="15"/>
      <x:c r="I1" s="15"/>
    </x:row>
    <x:row r="2"/>
    <x:row r="3" ht="15" hidden="0" customHeight="1">
      <x:c r="A3" t="str">
        <x:v>Principal original</x:v>
      </x:c>
      <x:c r="B3" s="12" t="n">
        <x:v>12000</x:v>
      </x:c>
      <x:c r="D3" t="str">
        <x:v>Taxa mensal original</x:v>
      </x:c>
      <x:c r="E3" t="n">
        <x:f>B6/12</x:f>
        <x:v>0.01</x:v>
      </x:c>
      <x:c r="G3" t="str">
        <x:v>Taxa mensal revisada</x:v>
      </x:c>
      <x:c r="H3" t="n">
        <x:f>B8/12</x:f>
        <x:v>0.006666666666666667</x:v>
      </x:c>
    </x:row>
    <x:row r="4" ht="15" hidden="0" customHeight="1">
      <x:c r="A4" t="str">
        <x:v>Prazo original</x:v>
      </x:c>
      <x:c r="B4" s="12" t="n">
        <x:v>12</x:v>
      </x:c>
      <x:c r="D4" t="str">
        <x:v>Pagamento original</x:v>
      </x:c>
      <x:c r="E4" t="n">
        <x:f>B3*E3/(1-(1+E3)^-B4)</x:f>
        <x:v>1066.1854641400994</x:v>
      </x:c>
      <x:c r="G4" t="str">
        <x:v>Pagamento revisado</x:v>
      </x:c>
      <x:c r="H4" t="n">
        <x:f>E5*H3/(1-(1+H3)^-B7)</x:f>
        <x:v>641.8394154783906</x:v>
      </x:c>
    </x:row>
    <x:row r="5" ht="15" hidden="0" customHeight="1">
      <x:c r="A5" t="str">
        <x:v>Períodos transcorridos</x:v>
      </x:c>
      <x:c r="B5" s="12" t="n">
        <x:v>3</x:v>
      </x:c>
      <x:c r="D5" t="str">
        <x:v>Saldo após 3 parcelas</x:v>
      </x:c>
      <x:c r="E5" t="n">
        <x:f>E17</x:f>
        <x:v>9132.95</x:v>
      </x:c>
    </x:row>
    <x:row r="6" ht="15" hidden="0" customHeight="1">
      <x:c r="A6" t="str">
        <x:v>Taxa nominal original</x:v>
      </x:c>
      <x:c r="B6" s="16" t="n">
        <x:v>0.12</x:v>
      </x:c>
    </x:row>
    <x:row r="7" ht="15" hidden="0" customHeight="1">
      <x:c r="A7" t="str">
        <x:v>Prazo revisado</x:v>
      </x:c>
      <x:c r="B7" s="17" t="n">
        <x:v>15</x:v>
      </x:c>
    </x:row>
    <x:row r="8" ht="15" hidden="0" customHeight="1">
      <x:c r="A8" t="str">
        <x:v>Taxa nominal revisada</x:v>
      </x:c>
      <x:c r="B8" s="16" t="n">
        <x:v>0.08</x:v>
      </x:c>
    </x:row>
    <x:row r="9" ht="15" hidden="0" customHeight="1">
      <x:c r="A9" t="str">
        <x:v>EIR original para desconto</x:v>
      </x:c>
      <x:c r="B9" s="16" t="n">
        <x:v>0.1265309</x:v>
      </x:c>
    </x:row>
    <x:row r="10" ht="15" hidden="0" customHeight="1">
      <x:c r="A10" t="str">
        <x:v>Hazard mensal</x:v>
      </x:c>
      <x:c r="B10" s="16" t="n">
        <x:v>0.01</x:v>
      </x:c>
    </x:row>
    <x:row r="11" ht="15" hidden="0" customHeight="1">
      <x:c r="A11" t="str">
        <x:v>LGD</x:v>
      </x:c>
      <x:c r="B11" s="16" t="n">
        <x:v>0.4</x:v>
      </x:c>
    </x:row>
    <x:row r="12"/>
    <x:row r="13"/>
    <x:row r="14" ht="15" hidden="0" customHeight="1">
      <x:c r="A14" s="6" t="str">
        <x:v>Período</x:v>
      </x:c>
      <x:c r="B14" s="6" t="str">
        <x:v>Abertura</x:v>
      </x:c>
      <x:c r="C14" s="6" t="str">
        <x:v>Juros</x:v>
      </x:c>
      <x:c r="D14" s="6" t="str">
        <x:v>Principal</x:v>
      </x:c>
      <x:c r="E14" s="6" t="str">
        <x:v>Fechamento</x:v>
      </x:c>
    </x:row>
    <x:row r="15" ht="15" hidden="0" customHeight="1">
      <x:c r="A15" t="n">
        <x:v>1</x:v>
      </x:c>
      <x:c r="B15" s="20" t="n">
        <x:f>$B$3</x:f>
        <x:v>12000</x:v>
      </x:c>
      <x:c r="C15" s="20" t="n">
        <x:f>ROUND(B15*$E$3,2)</x:f>
        <x:v>120</x:v>
      </x:c>
      <x:c r="D15" s="20" t="n">
        <x:f>ROUND($E$4-C15,2)</x:f>
        <x:v>946.19</x:v>
      </x:c>
      <x:c r="E15" s="20" t="n">
        <x:f>ROUND(B15-D15,2)</x:f>
        <x:v>11053.81</x:v>
      </x:c>
    </x:row>
    <x:row r="16" ht="15" hidden="0" customHeight="1">
      <x:c r="A16" t="n">
        <x:v>2</x:v>
      </x:c>
      <x:c r="B16" s="20" t="n">
        <x:f>E15</x:f>
        <x:v>11053.81</x:v>
      </x:c>
      <x:c r="C16" s="20" t="n">
        <x:f>ROUND(B16*$E$3,2)</x:f>
        <x:v>110.54</x:v>
      </x:c>
      <x:c r="D16" s="20" t="n">
        <x:f>ROUND($E$4-C16,2)</x:f>
        <x:v>955.65</x:v>
      </x:c>
      <x:c r="E16" s="20" t="n">
        <x:f>ROUND(B16-D16,2)</x:f>
        <x:v>10098.16</x:v>
      </x:c>
    </x:row>
    <x:row r="17" ht="15" hidden="0" customHeight="1">
      <x:c r="A17" t="n">
        <x:v>3</x:v>
      </x:c>
      <x:c r="B17" s="20" t="n">
        <x:f>E16</x:f>
        <x:v>10098.16</x:v>
      </x:c>
      <x:c r="C17" s="20" t="n">
        <x:f>ROUND(B17*$E$3,2)</x:f>
        <x:v>100.98</x:v>
      </x:c>
      <x:c r="D17" s="20" t="n">
        <x:f>ROUND($E$4-C17,2)</x:f>
        <x:v>965.21</x:v>
      </x:c>
      <x:c r="E17" s="20" t="n">
        <x:f>ROUND(B17-D17,2)</x:f>
        <x:v>9132.95</x:v>
      </x:c>
    </x:row>
    <x:row r="18"/>
    <x:row r="19"/>
    <x:row r="20" ht="15" hidden="0" customHeight="1">
      <x:c r="A20" s="18" t="str">
        <x:v>Período</x:v>
      </x:c>
      <x:c r="B20" s="18" t="str">
        <x:v>Abertura</x:v>
      </x:c>
      <x:c r="C20" s="18" t="str">
        <x:v>Juros</x:v>
      </x:c>
      <x:c r="D20" s="18" t="str">
        <x:v>Principal</x:v>
      </x:c>
      <x:c r="E20" s="18" t="str">
        <x:v>Fechamento</x:v>
      </x:c>
      <x:c r="F20" s="18" t="str">
        <x:v>Sobrevivência</x:v>
      </x:c>
      <x:c r="G20" s="18" t="str">
        <x:v>PD marginal</x:v>
      </x:c>
      <x:c r="H20" s="18" t="str">
        <x:v>Desconto</x:v>
      </x:c>
      <x:c r="I20" s="18" t="str">
        <x:v>Perda</x:v>
      </x:c>
    </x:row>
    <x:row r="21" ht="15" hidden="0" customHeight="1">
      <x:c r="A21" t="n">
        <x:v>1</x:v>
      </x:c>
      <x:c r="B21" s="20" t="n">
        <x:f>$E$5</x:f>
        <x:v>9132.95</x:v>
      </x:c>
      <x:c r="C21" s="20" t="n">
        <x:f>ROUND(B21*$H$3,2)</x:f>
        <x:v>60.89</x:v>
      </x:c>
      <x:c r="D21" s="20" t="n">
        <x:f>ROUND($H$4-C21,2)</x:f>
        <x:v>580.95</x:v>
      </x:c>
      <x:c r="E21" s="20" t="n">
        <x:f>ROUND(B21-D21,2)</x:f>
        <x:v>8552</x:v>
      </x:c>
      <x:c r="F21" s="21" t="n">
        <x:f>1</x:f>
        <x:v>1</x:v>
      </x:c>
      <x:c r="G21" s="21" t="n">
        <x:f>ROUND(F21*$B$10,8)</x:f>
        <x:v>0.01</x:v>
      </x:c>
      <x:c r="H21" s="21" t="n">
        <x:f>ROUND(1/(1+$B$9)^(A21/12),8)</x:f>
        <x:v>0.99012055</x:v>
      </x:c>
      <x:c r="I21" s="20" t="n">
        <x:f>ROUND(G21*$B$11*B21*H21,2)</x:f>
        <x:v>36.17</x:v>
      </x:c>
    </x:row>
    <x:row r="22" ht="15" hidden="0" customHeight="1">
      <x:c r="A22" t="n">
        <x:v>2</x:v>
      </x:c>
      <x:c r="B22" s="20" t="n">
        <x:f>E21</x:f>
        <x:v>8552</x:v>
      </x:c>
      <x:c r="C22" s="20" t="n">
        <x:f>ROUND(B22*$H$3,2)</x:f>
        <x:v>57.01</x:v>
      </x:c>
      <x:c r="D22" s="20" t="n">
        <x:f>ROUND($H$4-C22,2)</x:f>
        <x:v>584.83</x:v>
      </x:c>
      <x:c r="E22" s="20" t="n">
        <x:f>ROUND(B22-D22,2)</x:f>
        <x:v>7967.17</x:v>
      </x:c>
      <x:c r="F22" s="21" t="n">
        <x:f>F21-G21</x:f>
        <x:v>0.99</x:v>
      </x:c>
      <x:c r="G22" s="21" t="n">
        <x:f>ROUND(F22*$B$10,8)</x:f>
        <x:v>0.0099</x:v>
      </x:c>
      <x:c r="H22" s="21" t="n">
        <x:f>ROUND(1/(1+$B$9)^(A22/12),8)</x:f>
        <x:v>0.9803387</x:v>
      </x:c>
      <x:c r="I22" s="20" t="n">
        <x:f>ROUND(G22*$B$11*B22*H22,2)</x:f>
        <x:v>33.2</x:v>
      </x:c>
    </x:row>
    <x:row r="23" ht="15" hidden="0" customHeight="1">
      <x:c r="A23" t="n">
        <x:v>3</x:v>
      </x:c>
      <x:c r="B23" s="20" t="n">
        <x:f>E22</x:f>
        <x:v>7967.17</x:v>
      </x:c>
      <x:c r="C23" s="20" t="n">
        <x:f>ROUND(B23*$H$3,2)</x:f>
        <x:v>53.11</x:v>
      </x:c>
      <x:c r="D23" s="20" t="n">
        <x:f>ROUND($H$4-C23,2)</x:f>
        <x:v>588.73</x:v>
      </x:c>
      <x:c r="E23" s="20" t="n">
        <x:f>ROUND(B23-D23,2)</x:f>
        <x:v>7378.44</x:v>
      </x:c>
      <x:c r="F23" s="21" t="n">
        <x:f>F22-G22</x:f>
        <x:v>0.9801</x:v>
      </x:c>
      <x:c r="G23" s="21" t="n">
        <x:f>ROUND(F23*$B$10,8)</x:f>
        <x:v>0.009801</x:v>
      </x:c>
      <x:c r="H23" s="21" t="n">
        <x:f>ROUND(1/(1+$B$9)^(A23/12),8)</x:f>
        <x:v>0.9706535</x:v>
      </x:c>
      <x:c r="I23" s="20" t="n">
        <x:f>ROUND(G23*$B$11*B23*H23,2)</x:f>
        <x:v>30.32</x:v>
      </x:c>
    </x:row>
    <x:row r="24" ht="15" hidden="0" customHeight="1">
      <x:c r="A24" t="n">
        <x:v>4</x:v>
      </x:c>
      <x:c r="B24" s="20" t="n">
        <x:f>E23</x:f>
        <x:v>7378.44</x:v>
      </x:c>
      <x:c r="C24" s="20" t="n">
        <x:f>ROUND(B24*$H$3,2)</x:f>
        <x:v>49.19</x:v>
      </x:c>
      <x:c r="D24" s="20" t="n">
        <x:f>ROUND($H$4-C24,2)</x:f>
        <x:v>592.65</x:v>
      </x:c>
      <x:c r="E24" s="20" t="n">
        <x:f>ROUND(B24-D24,2)</x:f>
        <x:v>6785.79</x:v>
      </x:c>
      <x:c r="F24" s="21" t="n">
        <x:f>F23-G23</x:f>
        <x:v>0.970299</x:v>
      </x:c>
      <x:c r="G24" s="21" t="n">
        <x:f>ROUND(F24*$B$10,8)</x:f>
        <x:v>0.00970299</x:v>
      </x:c>
      <x:c r="H24" s="21" t="n">
        <x:f>ROUND(1/(1+$B$9)^(A24/12),8)</x:f>
        <x:v>0.96106397</x:v>
      </x:c>
      <x:c r="I24" s="20" t="n">
        <x:f>ROUND(G24*$B$11*B24*H24,2)</x:f>
        <x:v>27.52</x:v>
      </x:c>
    </x:row>
    <x:row r="25" ht="15" hidden="0" customHeight="1">
      <x:c r="A25" t="n">
        <x:v>5</x:v>
      </x:c>
      <x:c r="B25" s="20" t="n">
        <x:f>E24</x:f>
        <x:v>6785.79</x:v>
      </x:c>
      <x:c r="C25" s="20" t="n">
        <x:f>ROUND(B25*$H$3,2)</x:f>
        <x:v>45.24</x:v>
      </x:c>
      <x:c r="D25" s="20" t="n">
        <x:f>ROUND($H$4-C25,2)</x:f>
        <x:v>596.6</x:v>
      </x:c>
      <x:c r="E25" s="20" t="n">
        <x:f>ROUND(B25-D25,2)</x:f>
        <x:v>6189.19</x:v>
      </x:c>
      <x:c r="F25" s="21" t="n">
        <x:f>F24-G24</x:f>
        <x:v>0.9605960100000001</x:v>
      </x:c>
      <x:c r="G25" s="21" t="n">
        <x:f>ROUND(F25*$B$10,8)</x:f>
        <x:v>0.00960596</x:v>
      </x:c>
      <x:c r="H25" s="21" t="n">
        <x:f>ROUND(1/(1+$B$9)^(A25/12),8)</x:f>
        <x:v>0.95156919</x:v>
      </x:c>
      <x:c r="I25" s="20" t="n">
        <x:f>ROUND(G25*$B$11*B25*H25,2)</x:f>
        <x:v>24.81</x:v>
      </x:c>
    </x:row>
    <x:row r="26" ht="15" hidden="0" customHeight="1">
      <x:c r="A26" t="n">
        <x:v>6</x:v>
      </x:c>
      <x:c r="B26" s="20" t="n">
        <x:f>E25</x:f>
        <x:v>6189.19</x:v>
      </x:c>
      <x:c r="C26" s="20" t="n">
        <x:f>ROUND(B26*$H$3,2)</x:f>
        <x:v>41.26</x:v>
      </x:c>
      <x:c r="D26" s="20" t="n">
        <x:f>ROUND($H$4-C26,2)</x:f>
        <x:v>600.58</x:v>
      </x:c>
      <x:c r="E26" s="20" t="n">
        <x:f>ROUND(B26-D26,2)</x:f>
        <x:v>5588.61</x:v>
      </x:c>
      <x:c r="F26" s="21" t="n">
        <x:f>F25-G25</x:f>
        <x:v>0.95099005</x:v>
      </x:c>
      <x:c r="G26" s="21" t="n">
        <x:f>ROUND(F26*$B$10,8)</x:f>
        <x:v>0.0095099</x:v>
      </x:c>
      <x:c r="H26" s="21" t="n">
        <x:f>ROUND(1/(1+$B$9)^(A26/12),8)</x:f>
        <x:v>0.94216821</x:v>
      </x:c>
      <x:c r="I26" s="20" t="n">
        <x:f>ROUND(G26*$B$11*B26*H26,2)</x:f>
        <x:v>22.18</x:v>
      </x:c>
    </x:row>
    <x:row r="27" ht="15" hidden="0" customHeight="1">
      <x:c r="A27" t="n">
        <x:v>7</x:v>
      </x:c>
      <x:c r="B27" s="20" t="n">
        <x:f>E26</x:f>
        <x:v>5588.61</x:v>
      </x:c>
      <x:c r="C27" s="20" t="n">
        <x:f>ROUND(B27*$H$3,2)</x:f>
        <x:v>37.26</x:v>
      </x:c>
      <x:c r="D27" s="20" t="n">
        <x:f>ROUND($H$4-C27,2)</x:f>
        <x:v>604.58</x:v>
      </x:c>
      <x:c r="E27" s="20" t="n">
        <x:f>ROUND(B27-D27,2)</x:f>
        <x:v>4984.03</x:v>
      </x:c>
      <x:c r="F27" s="21" t="n">
        <x:f>F26-G26</x:f>
        <x:v>0.9414801500000001</x:v>
      </x:c>
      <x:c r="G27" s="21" t="n">
        <x:f>ROUND(F27*$B$10,8)</x:f>
        <x:v>0.0094148</x:v>
      </x:c>
      <x:c r="H27" s="21" t="n">
        <x:f>ROUND(1/(1+$B$9)^(A27/12),8)</x:f>
        <x:v>0.9328601</x:v>
      </x:c>
      <x:c r="I27" s="20" t="n">
        <x:f>ROUND(G27*$B$11*B27*H27,2)</x:f>
        <x:v>19.63</x:v>
      </x:c>
    </x:row>
    <x:row r="28" ht="15" hidden="0" customHeight="1">
      <x:c r="A28" t="n">
        <x:v>8</x:v>
      </x:c>
      <x:c r="B28" s="20" t="n">
        <x:f>E27</x:f>
        <x:v>4984.03</x:v>
      </x:c>
      <x:c r="C28" s="20" t="n">
        <x:f>ROUND(B28*$H$3,2)</x:f>
        <x:v>33.23</x:v>
      </x:c>
      <x:c r="D28" s="20" t="n">
        <x:f>ROUND($H$4-C28,2)</x:f>
        <x:v>608.61</x:v>
      </x:c>
      <x:c r="E28" s="20" t="n">
        <x:f>ROUND(B28-D28,2)</x:f>
        <x:v>4375.42</x:v>
      </x:c>
      <x:c r="F28" s="21" t="n">
        <x:f>F27-G27</x:f>
        <x:v>0.9320653500000001</x:v>
      </x:c>
      <x:c r="G28" s="21" t="n">
        <x:f>ROUND(F28*$B$10,8)</x:f>
        <x:v>0.00932065</x:v>
      </x:c>
      <x:c r="H28" s="21" t="n">
        <x:f>ROUND(1/(1+$B$9)^(A28/12),8)</x:f>
        <x:v>0.92364396</x:v>
      </x:c>
      <x:c r="I28" s="20" t="n">
        <x:f>ROUND(G28*$B$11*B28*H28,2)</x:f>
        <x:v>17.16</x:v>
      </x:c>
    </x:row>
    <x:row r="29" ht="15" hidden="0" customHeight="1">
      <x:c r="A29" t="n">
        <x:v>9</x:v>
      </x:c>
      <x:c r="B29" s="20" t="n">
        <x:f>E28</x:f>
        <x:v>4375.42</x:v>
      </x:c>
      <x:c r="C29" s="20" t="n">
        <x:f>ROUND(B29*$H$3,2)</x:f>
        <x:v>29.17</x:v>
      </x:c>
      <x:c r="D29" s="20" t="n">
        <x:f>ROUND($H$4-C29,2)</x:f>
        <x:v>612.67</x:v>
      </x:c>
      <x:c r="E29" s="20" t="n">
        <x:f>ROUND(B29-D29,2)</x:f>
        <x:v>3762.75</x:v>
      </x:c>
      <x:c r="F29" s="21" t="n">
        <x:f>F28-G28</x:f>
        <x:v>0.9227447000000001</x:v>
      </x:c>
      <x:c r="G29" s="21" t="n">
        <x:f>ROUND(F29*$B$10,8)</x:f>
        <x:v>0.00922745</x:v>
      </x:c>
      <x:c r="H29" s="21" t="n">
        <x:f>ROUND(1/(1+$B$9)^(A29/12),8)</x:f>
        <x:v>0.91451886</x:v>
      </x:c>
      <x:c r="I29" s="20" t="n">
        <x:f>ROUND(G29*$B$11*B29*H29,2)</x:f>
        <x:v>14.77</x:v>
      </x:c>
    </x:row>
    <x:row r="30" ht="15" hidden="0" customHeight="1">
      <x:c r="A30" t="n">
        <x:v>10</x:v>
      </x:c>
      <x:c r="B30" s="20" t="n">
        <x:f>E29</x:f>
        <x:v>3762.75</x:v>
      </x:c>
      <x:c r="C30" s="20" t="n">
        <x:f>ROUND(B30*$H$3,2)</x:f>
        <x:v>25.09</x:v>
      </x:c>
      <x:c r="D30" s="20" t="n">
        <x:f>ROUND($H$4-C30,2)</x:f>
        <x:v>616.75</x:v>
      </x:c>
      <x:c r="E30" s="20" t="n">
        <x:f>ROUND(B30-D30,2)</x:f>
        <x:v>3146</x:v>
      </x:c>
      <x:c r="F30" s="21" t="n">
        <x:f>F29-G29</x:f>
        <x:v>0.9135172500000001</x:v>
      </x:c>
      <x:c r="G30" s="21" t="n">
        <x:f>ROUND(F30*$B$10,8)</x:f>
        <x:v>0.00913517</x:v>
      </x:c>
      <x:c r="H30" s="21" t="n">
        <x:f>ROUND(1/(1+$B$9)^(A30/12),8)</x:f>
        <x:v>0.90548392</x:v>
      </x:c>
      <x:c r="I30" s="20" t="n">
        <x:f>ROUND(G30*$B$11*B30*H30,2)</x:f>
        <x:v>12.45</x:v>
      </x:c>
    </x:row>
    <x:row r="31" ht="15" hidden="0" customHeight="1">
      <x:c r="A31" t="n">
        <x:v>11</x:v>
      </x:c>
      <x:c r="B31" s="20" t="n">
        <x:f>E30</x:f>
        <x:v>3146</x:v>
      </x:c>
      <x:c r="C31" s="20" t="n">
        <x:f>ROUND(B31*$H$3,2)</x:f>
        <x:v>20.97</x:v>
      </x:c>
      <x:c r="D31" s="20" t="n">
        <x:f>ROUND($H$4-C31,2)</x:f>
        <x:v>620.87</x:v>
      </x:c>
      <x:c r="E31" s="20" t="n">
        <x:f>ROUND(B31-D31,2)</x:f>
        <x:v>2525.13</x:v>
      </x:c>
      <x:c r="F31" s="21" t="n">
        <x:f>F30-G30</x:f>
        <x:v>0.9043820800000001</x:v>
      </x:c>
      <x:c r="G31" s="21" t="n">
        <x:f>ROUND(F31*$B$10,8)</x:f>
        <x:v>0.00904382</x:v>
      </x:c>
      <x:c r="H31" s="21" t="n">
        <x:f>ROUND(1/(1+$B$9)^(A31/12),8)</x:f>
        <x:v>0.89653824</x:v>
      </x:c>
      <x:c r="I31" s="20" t="n">
        <x:f>ROUND(G31*$B$11*B31*H31,2)</x:f>
        <x:v>10.2</x:v>
      </x:c>
    </x:row>
    <x:row r="32" ht="15" hidden="0" customHeight="1">
      <x:c r="A32" t="n">
        <x:v>12</x:v>
      </x:c>
      <x:c r="B32" s="20" t="n">
        <x:f>E31</x:f>
        <x:v>2525.13</x:v>
      </x:c>
      <x:c r="C32" s="20" t="n">
        <x:f>ROUND(B32*$H$3,2)</x:f>
        <x:v>16.83</x:v>
      </x:c>
      <x:c r="D32" s="20" t="n">
        <x:f>ROUND($H$4-C32,2)</x:f>
        <x:v>625.01</x:v>
      </x:c>
      <x:c r="E32" s="20" t="n">
        <x:f>ROUND(B32-D32,2)</x:f>
        <x:v>1900.12</x:v>
      </x:c>
      <x:c r="F32" s="21" t="n">
        <x:f>F31-G31</x:f>
        <x:v>0.89533826</x:v>
      </x:c>
      <x:c r="G32" s="21" t="n">
        <x:f>ROUND(F32*$B$10,8)</x:f>
        <x:v>0.00895338</x:v>
      </x:c>
      <x:c r="H32" s="21" t="n">
        <x:f>ROUND(1/(1+$B$9)^(A32/12),8)</x:f>
        <x:v>0.88768093</x:v>
      </x:c>
      <x:c r="I32" s="20" t="n">
        <x:f>ROUND(G32*$B$11*B32*H32,2)</x:f>
        <x:v>8.03</x:v>
      </x:c>
    </x:row>
    <x:row r="33" ht="15" hidden="0" customHeight="1">
      <x:c r="A33" t="n">
        <x:v>13</x:v>
      </x:c>
      <x:c r="B33" s="20" t="n">
        <x:f>E32</x:f>
        <x:v>1900.12</x:v>
      </x:c>
      <x:c r="C33" s="20" t="n">
        <x:f>ROUND(B33*$H$3,2)</x:f>
        <x:v>12.67</x:v>
      </x:c>
      <x:c r="D33" s="20" t="n">
        <x:f>ROUND($H$4-C33,2)</x:f>
        <x:v>629.17</x:v>
      </x:c>
      <x:c r="E33" s="20" t="n">
        <x:f>ROUND(B33-D33,2)</x:f>
        <x:v>1270.95</x:v>
      </x:c>
      <x:c r="F33" s="21" t="n">
        <x:f>F32-G32</x:f>
        <x:v>0.88638488</x:v>
      </x:c>
      <x:c r="G33" s="21" t="n">
        <x:f>ROUND(F33*$B$10,8)</x:f>
        <x:v>0.00886385</x:v>
      </x:c>
      <x:c r="H33" s="21" t="n">
        <x:f>ROUND(1/(1+$B$9)^(A33/12),8)</x:f>
        <x:v>0.87891113</x:v>
      </x:c>
      <x:c r="I33" s="20" t="n">
        <x:f>ROUND(G33*$B$11*B33*H33,2)</x:f>
        <x:v>5.92</x:v>
      </x:c>
    </x:row>
    <x:row r="34" ht="15" hidden="0" customHeight="1">
      <x:c r="A34" t="n">
        <x:v>14</x:v>
      </x:c>
      <x:c r="B34" s="20" t="n">
        <x:f>E33</x:f>
        <x:v>1270.95</x:v>
      </x:c>
      <x:c r="C34" s="20" t="n">
        <x:f>ROUND(B34*$H$3,2)</x:f>
        <x:v>8.47</x:v>
      </x:c>
      <x:c r="D34" s="20" t="n">
        <x:f>ROUND($H$4-C34,2)</x:f>
        <x:v>633.37</x:v>
      </x:c>
      <x:c r="E34" s="20" t="n">
        <x:f>ROUND(B34-D34,2)</x:f>
        <x:v>637.58</x:v>
      </x:c>
      <x:c r="F34" s="21" t="n">
        <x:f>F33-G33</x:f>
        <x:v>0.87752103</x:v>
      </x:c>
      <x:c r="G34" s="21" t="n">
        <x:f>ROUND(F34*$B$10,8)</x:f>
        <x:v>0.00877521</x:v>
      </x:c>
      <x:c r="H34" s="21" t="n">
        <x:f>ROUND(1/(1+$B$9)^(A34/12),8)</x:f>
        <x:v>0.87022797</x:v>
      </x:c>
      <x:c r="I34" s="20" t="n">
        <x:f>ROUND(G34*$B$11*B34*H34,2)</x:f>
        <x:v>3.88</x:v>
      </x:c>
    </x:row>
    <x:row r="35" ht="15" hidden="0" customHeight="1">
      <x:c r="A35" t="n">
        <x:v>15</x:v>
      </x:c>
      <x:c r="B35" s="20" t="n">
        <x:f>E34</x:f>
        <x:v>637.58</x:v>
      </x:c>
      <x:c r="C35" s="20" t="n">
        <x:f>ROUND(B35*$H$3,2)</x:f>
        <x:v>4.25</x:v>
      </x:c>
      <x:c r="D35" s="20" t="n">
        <x:f>B35</x:f>
        <x:v>637.58</x:v>
      </x:c>
      <x:c r="E35" s="20" t="n">
        <x:f>ROUND(B35-D35,2)</x:f>
        <x:v>0</x:v>
      </x:c>
      <x:c r="F35" s="21" t="n">
        <x:f>F34-G34</x:f>
        <x:v>0.86874582</x:v>
      </x:c>
      <x:c r="G35" s="21" t="n">
        <x:f>ROUND(F35*$B$10,8)</x:f>
        <x:v>0.00868746</x:v>
      </x:c>
      <x:c r="H35" s="21" t="n">
        <x:f>ROUND(1/(1+$B$9)^(A35/12),8)</x:f>
        <x:v>0.8616306</x:v>
      </x:c>
      <x:c r="I35" s="20" t="n">
        <x:f>ROUND(G35*$B$11*B35*H35,2)</x:f>
        <x:v>1.91</x:v>
      </x:c>
    </x:row>
    <x:row r="36" ht="15" hidden="0" customHeight="1">
      <x:c r="H36" s="19" t="str">
        <x:v>Total ECL</x:v>
      </x:c>
      <x:c r="I36" s="22" t="n">
        <x:f>SUM(I21:I35)</x:f>
        <x:v>268.15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299991607666" hidden="0" customWidth="1"/>
    <x:col min="2" max="2" width="5.630000114440918" hidden="0" customWidth="1"/>
    <x:col min="3" max="3" width="7.5" hidden="0" customWidth="1"/>
    <x:col min="4" max="4" width="8.380000114440918" hidden="0" customWidth="1"/>
    <x:col min="5" max="5" width="7.880000114440918" hidden="0" customWidth="1"/>
    <x:col min="6" max="6" width="5.25" hidden="0" customWidth="1"/>
  </x:cols>
  <x:sheetData>
    <x:row r="1" ht="15" hidden="0" customHeight="1">
      <x:c r="A1" s="10" t="str">
        <x:v>Check</x:v>
      </x:c>
      <x:c r="B1" s="10" t="str">
        <x:v>Actual</x:v>
      </x:c>
      <x:c r="C1" s="10" t="str">
        <x:v>Expected</x:v>
      </x:c>
      <x:c r="D1" s="10" t="str">
        <x:v>Difference</x:v>
      </x:c>
      <x:c r="E1" s="10" t="str">
        <x:v>Tolerance</x:v>
      </x:c>
      <x:c r="F1" s="10" t="str">
        <x:v>Status</x:v>
      </x:c>
    </x:row>
    <x:row r="2" ht="15" hidden="0" customHeight="1">
      <x:c r="A2" s="9" t="str">
        <x:f>'Golden Cases'!A10</x:f>
        <x:v>stage1_amortized</x:v>
      </x:c>
      <x:c r="B2" s="24" t="n">
        <x:f>'Golden Cases'!D10</x:f>
        <x:v>9.05</x:v>
      </x:c>
      <x:c r="C2" s="24" t="n">
        <x:f>'Golden Cases'!C10</x:f>
        <x:v>9.05</x:v>
      </x:c>
      <x:c r="D2" s="24" t="n">
        <x:f>B2-C2</x:f>
        <x:v>0</x:v>
      </x:c>
      <x:c r="E2" s="23" t="n">
        <x:v>0.001</x:v>
      </x:c>
      <x:c r="F2" s="23" t="str">
        <x:f>IF(ABS(D2)&lt;=E2,"OK","FAIL")</x:f>
        <x:v>OK</x:v>
      </x:c>
    </x:row>
    <x:row r="3" ht="15" hidden="0" customHeight="1">
      <x:c r="A3" s="9" t="str">
        <x:f>'Golden Cases'!A11</x:f>
        <x:v>stage2_lifetime</x:v>
      </x:c>
      <x:c r="B3" s="24" t="n">
        <x:f>'Golden Cases'!D11</x:f>
        <x:v>12.33</x:v>
      </x:c>
      <x:c r="C3" s="24" t="n">
        <x:f>'Golden Cases'!C11</x:f>
        <x:v>12.33</x:v>
      </x:c>
      <x:c r="D3" s="24" t="n">
        <x:f>B3-C3</x:f>
        <x:v>0</x:v>
      </x:c>
      <x:c r="E3" s="23" t="n">
        <x:v>0.001</x:v>
      </x:c>
      <x:c r="F3" s="23" t="str">
        <x:f>IF(ABS(D3)&lt;=E3,"OK","FAIL")</x:f>
        <x:v>OK</x:v>
      </x:c>
    </x:row>
    <x:row r="4" ht="15" hidden="0" customHeight="1">
      <x:c r="A4" s="9" t="str">
        <x:f>'Golden Cases'!A12</x:f>
        <x:v>stage3_cash_shortfall</x:v>
      </x:c>
      <x:c r="B4" s="24" t="n">
        <x:f>'Golden Cases'!D12</x:f>
        <x:v>25</x:v>
      </x:c>
      <x:c r="C4" s="24" t="n">
        <x:f>'Golden Cases'!C12</x:f>
        <x:v>25</x:v>
      </x:c>
      <x:c r="D4" s="24" t="n">
        <x:f>B4-C4</x:f>
        <x:v>0</x:v>
      </x:c>
      <x:c r="E4" s="23" t="n">
        <x:v>0.001</x:v>
      </x:c>
      <x:c r="F4" s="23" t="str">
        <x:f>IF(ABS(D4)&lt;=E4,"OK","FAIL")</x:f>
        <x:v>OK</x:v>
      </x:c>
    </x:row>
    <x:row r="5" ht="15" hidden="0" customHeight="1">
      <x:c r="A5" s="9" t="str">
        <x:f>'Golden Cases'!A13</x:f>
        <x:v>revolving_ccf</x:v>
      </x:c>
      <x:c r="B5" s="24" t="n">
        <x:f>'Golden Cases'!D13</x:f>
        <x:v>7.5</x:v>
      </x:c>
      <x:c r="C5" s="24" t="n">
        <x:f>'Golden Cases'!C13</x:f>
        <x:v>7.5</x:v>
      </x:c>
      <x:c r="D5" s="24" t="n">
        <x:f>B5-C5</x:f>
        <x:v>0</x:v>
      </x:c>
      <x:c r="E5" s="23" t="n">
        <x:v>0.001</x:v>
      </x:c>
      <x:c r="F5" s="23" t="str">
        <x:f>IF(ABS(D5)&lt;=E5,"OK","FAIL")</x:f>
        <x:v>OK</x:v>
      </x:c>
    </x:row>
    <x:row r="6" ht="15" hidden="0" customHeight="1">
      <x:c r="A6" s="9" t="str">
        <x:f>'Golden Cases'!A14</x:f>
        <x:v>secured_contract</x:v>
      </x:c>
      <x:c r="B6" s="24" t="n">
        <x:f>'Golden Cases'!D14</x:f>
        <x:v>30</x:v>
      </x:c>
      <x:c r="C6" s="24" t="n">
        <x:f>'Golden Cases'!C14</x:f>
        <x:v>30</x:v>
      </x:c>
      <x:c r="D6" s="24" t="n">
        <x:f>B6-C6</x:f>
        <x:v>0</x:v>
      </x:c>
      <x:c r="E6" s="23" t="n">
        <x:v>0.001</x:v>
      </x:c>
      <x:c r="F6" s="23" t="str">
        <x:f>IF(ABS(D6)&lt;=E6,"OK","FAIL")</x:f>
        <x:v>OK</x:v>
      </x:c>
    </x:row>
    <x:row r="7" ht="15" hidden="0" customHeight="1">
      <x:c r="A7" s="9" t="str">
        <x:f>'Golden Cases'!A15</x:f>
        <x:v>poci</x:v>
      </x:c>
      <x:c r="B7" s="24" t="n">
        <x:f>'Golden Cases'!D15</x:f>
        <x:v>20</x:v>
      </x:c>
      <x:c r="C7" s="24" t="n">
        <x:f>'Golden Cases'!C15</x:f>
        <x:v>20</x:v>
      </x:c>
      <x:c r="D7" s="24" t="n">
        <x:f>B7-C7</x:f>
        <x:v>0</x:v>
      </x:c>
      <x:c r="E7" s="23" t="n">
        <x:v>0.001</x:v>
      </x:c>
      <x:c r="F7" s="23" t="str">
        <x:f>IF(ABS(D7)&lt;=E7,"OK","FAIL")</x:f>
        <x:v>OK</x:v>
      </x:c>
    </x:row>
    <x:row r="8" ht="15" hidden="0" customHeight="1">
      <x:c r="A8" s="9" t="str">
        <x:f>'Golden Cases'!A16</x:f>
        <x:v>modification</x:v>
      </x:c>
      <x:c r="B8" s="24" t="n">
        <x:f>'Golden Cases'!D16</x:f>
        <x:v>268.15</x:v>
      </x:c>
      <x:c r="C8" s="24" t="n">
        <x:f>'Golden Cases'!C16</x:f>
        <x:v>268.15</x:v>
      </x:c>
      <x:c r="D8" s="24" t="n">
        <x:f>B8-C8</x:f>
        <x:v>0</x:v>
      </x:c>
      <x:c r="E8" s="23" t="n">
        <x:v>0.001</x:v>
      </x:c>
      <x:c r="F8" s="23" t="str">
        <x:f>IF(ABS(D8)&lt;=E8,"OK","FAIL")</x:f>
        <x:v>OK</x:v>
      </x:c>
    </x:row>
    <x:row r="9" ht="15" hidden="0" customHeight="1">
      <x:c r="A9" s="9" t="str">
        <x:f>'Golden Cases'!A17</x:f>
        <x:v>multi_scenario</x:v>
      </x:c>
      <x:c r="B9" s="24" t="n">
        <x:f>'Golden Cases'!D17</x:f>
        <x:v>21.14</x:v>
      </x:c>
      <x:c r="C9" s="24" t="n">
        <x:f>'Golden Cases'!C17</x:f>
        <x:v>21.14</x:v>
      </x:c>
      <x:c r="D9" s="24" t="n">
        <x:f>B9-C9</x:f>
        <x:v>0</x:v>
      </x:c>
      <x:c r="E9" s="23" t="n">
        <x:v>0.001</x:v>
      </x:c>
      <x:c r="F9" s="23" t="str">
        <x:f>IF(ABS(D9)&lt;=E9,"OK","FAIL")</x:f>
        <x:v>OK</x:v>
      </x:c>
    </x:row>
    <x:row r="10"/>
    <x:row r="11" ht="15" hidden="0" customHeight="1">
      <x:c r="A11" s="10" t="str">
        <x:v>Model status</x:v>
      </x:c>
      <x:c r="B11" s="10" t="str">
        <x:f>IF(COUNTIF(F2:F9,"FAIL")=0,"OK","FAIL")</x:f>
        <x:v>OK</x:v>
      </x:c>
    </x:row>
  </x:sheetData>
  <x:conditionalFormatting sqref="F2:F9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